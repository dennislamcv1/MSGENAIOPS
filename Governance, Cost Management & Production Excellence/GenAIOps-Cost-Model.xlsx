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andipdikshit/Downloads/"/>
    </mc:Choice>
  </mc:AlternateContent>
  <xr:revisionPtr revIDLastSave="0" documentId="13_ncr:1_{439D2B32-C284-CF4A-857D-66A5255A8A47}" xr6:coauthVersionLast="47" xr6:coauthVersionMax="47" xr10:uidLastSave="{00000000-0000-0000-0000-000000000000}"/>
  <bookViews>
    <workbookView xWindow="1040" yWindow="780" windowWidth="40080" windowHeight="25800" activeTab="1" xr2:uid="{00000000-000D-0000-FFFF-FFFF00000000}"/>
  </bookViews>
  <sheets>
    <sheet name="Instructions" sheetId="1" r:id="rId1"/>
    <sheet name="Inputs" sheetId="2" r:id="rId2"/>
    <sheet name="Token Cost Model" sheetId="3" r:id="rId3"/>
    <sheet name="Agent Sensitivity" sheetId="4" r:id="rId4"/>
    <sheet name="Chargeback &amp; Quotas" sheetId="5" r:id="rId5"/>
    <sheet name="Optimization Scenarios" sheetId="6" r:id="rId6"/>
    <sheet name="Sourc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C10" i="6"/>
  <c r="D8" i="5"/>
  <c r="G8" i="5" s="1"/>
  <c r="D7" i="5"/>
  <c r="F7" i="5" s="1"/>
  <c r="D6" i="5"/>
  <c r="G6" i="5" s="1"/>
  <c r="H5" i="5"/>
  <c r="D5" i="5"/>
  <c r="F5" i="5" s="1"/>
  <c r="J7" i="4"/>
  <c r="I7" i="4"/>
  <c r="F7" i="4"/>
  <c r="E7" i="4"/>
  <c r="D7" i="4"/>
  <c r="C7" i="4"/>
  <c r="B7" i="4"/>
  <c r="H7" i="4" s="1"/>
  <c r="J6" i="4"/>
  <c r="I6" i="4"/>
  <c r="F6" i="4"/>
  <c r="E6" i="4"/>
  <c r="D6" i="4"/>
  <c r="C6" i="4"/>
  <c r="B6" i="4"/>
  <c r="J5" i="4"/>
  <c r="I5" i="4"/>
  <c r="F5" i="4"/>
  <c r="E5" i="4"/>
  <c r="D5" i="4"/>
  <c r="C5" i="4"/>
  <c r="B5" i="4"/>
  <c r="N7" i="3"/>
  <c r="A8" i="5" s="1"/>
  <c r="K7" i="3"/>
  <c r="J7" i="3"/>
  <c r="F7" i="3"/>
  <c r="E7" i="3"/>
  <c r="D7" i="3"/>
  <c r="C7" i="3"/>
  <c r="B7" i="3"/>
  <c r="A7" i="3"/>
  <c r="B8" i="5" s="1"/>
  <c r="N6" i="3"/>
  <c r="A7" i="5" s="1"/>
  <c r="K6" i="3"/>
  <c r="J6" i="3"/>
  <c r="G6" i="3"/>
  <c r="F6" i="3"/>
  <c r="E6" i="3"/>
  <c r="D6" i="3"/>
  <c r="C6" i="3"/>
  <c r="B6" i="3"/>
  <c r="A6" i="3"/>
  <c r="B7" i="5" s="1"/>
  <c r="N5" i="3"/>
  <c r="A6" i="5" s="1"/>
  <c r="K5" i="3"/>
  <c r="J5" i="3"/>
  <c r="G5" i="3"/>
  <c r="F5" i="3"/>
  <c r="E5" i="3"/>
  <c r="D5" i="3"/>
  <c r="C5" i="3"/>
  <c r="B5" i="3"/>
  <c r="A5" i="3"/>
  <c r="B6" i="5" s="1"/>
  <c r="N4" i="3"/>
  <c r="A5" i="5" s="1"/>
  <c r="K4" i="3"/>
  <c r="J4" i="3"/>
  <c r="G4" i="3"/>
  <c r="F4" i="3"/>
  <c r="E4" i="3"/>
  <c r="D4" i="3"/>
  <c r="C4" i="3"/>
  <c r="B4" i="3"/>
  <c r="A4" i="3"/>
  <c r="B5" i="5" s="1"/>
  <c r="G18" i="2"/>
  <c r="G7" i="3" s="1"/>
  <c r="G5" i="5" l="1"/>
  <c r="F6" i="5"/>
  <c r="H5" i="3"/>
  <c r="H6" i="4"/>
  <c r="I4" i="3"/>
  <c r="I6" i="3"/>
  <c r="H6" i="3"/>
  <c r="L6" i="3" s="1"/>
  <c r="H7" i="3"/>
  <c r="G6" i="4"/>
  <c r="K6" i="4" s="1"/>
  <c r="L6" i="4" s="1"/>
  <c r="G7" i="5"/>
  <c r="G5" i="4"/>
  <c r="K5" i="4" s="1"/>
  <c r="H8" i="5"/>
  <c r="H6" i="5"/>
  <c r="I7" i="3"/>
  <c r="H5" i="4"/>
  <c r="I5" i="5"/>
  <c r="I6" i="5"/>
  <c r="I7" i="5"/>
  <c r="I8" i="5"/>
  <c r="I5" i="3"/>
  <c r="G7" i="4"/>
  <c r="K7" i="4" s="1"/>
  <c r="H7" i="5"/>
  <c r="H4" i="3"/>
  <c r="D10" i="5"/>
  <c r="F8" i="5"/>
  <c r="L5" i="3" l="1"/>
  <c r="C6" i="5" s="1"/>
  <c r="E6" i="5" s="1"/>
  <c r="L4" i="3"/>
  <c r="M4" i="3" s="1"/>
  <c r="L5" i="4"/>
  <c r="L7" i="4"/>
  <c r="L7" i="3"/>
  <c r="C7" i="5"/>
  <c r="E7" i="5" s="1"/>
  <c r="M6" i="3"/>
  <c r="M5" i="3" l="1"/>
  <c r="D7" i="6"/>
  <c r="C5" i="5"/>
  <c r="M7" i="3"/>
  <c r="C8" i="5"/>
  <c r="E8" i="5" s="1"/>
  <c r="D10" i="6"/>
  <c r="D6" i="6"/>
  <c r="D5" i="6"/>
  <c r="D8" i="6"/>
  <c r="M8" i="3"/>
  <c r="C10" i="5" l="1"/>
  <c r="E10" i="5" s="1"/>
  <c r="E5" i="5"/>
  <c r="E7" i="6"/>
  <c r="F7" i="6" s="1"/>
  <c r="E8" i="6"/>
  <c r="F8" i="6" s="1"/>
  <c r="E5" i="6"/>
  <c r="F5" i="6" s="1"/>
  <c r="E6" i="6"/>
  <c r="F6" i="6" s="1"/>
  <c r="E10" i="6"/>
  <c r="F10" i="6" s="1"/>
</calcChain>
</file>

<file path=xl/sharedStrings.xml><?xml version="1.0" encoding="utf-8"?>
<sst xmlns="http://schemas.openxmlformats.org/spreadsheetml/2006/main" count="212" uniqueCount="190">
  <si>
    <t>Global Logistics Corp — GenAIOps cost model</t>
  </si>
  <si>
    <t>Purpose</t>
  </si>
  <si>
    <t>Use this workbook to estimate monthly model-token cost, test low/base/high agent sensitivity cases, allocate spend, set quota guardrails, and model optimization scenarios. Green cells are editable assumptions. Derived values use formulas.</t>
  </si>
  <si>
    <t>Required use rules</t>
  </si>
  <si>
    <t>1</t>
  </si>
  <si>
    <t>Replace the illustrative input and output rates with the contracted model/SKU rates before production use.</t>
  </si>
  <si>
    <t>2</t>
  </si>
  <si>
    <t>Treat 5×, 12×, and 30× only as low/base/high sensitivity inputs. They are not an industry benchmark.</t>
  </si>
  <si>
    <t>3</t>
  </si>
  <si>
    <t>Replace the agent multiplier with measured model calls, tool-context tokens, retries, and outputs from traces.</t>
  </si>
  <si>
    <t>4</t>
  </si>
  <si>
    <t>Reconcile allocation totals to Azure Cost Management or the enterprise invoice. Gateway counters are not the financial ledger.</t>
  </si>
  <si>
    <t>5</t>
  </si>
  <si>
    <t>Token-rate and quota enforcement can be temporarily imprecise in distributed systems. Use alert buffers and reconciliation.</t>
  </si>
  <si>
    <t>6</t>
  </si>
  <si>
    <t>Do not accept a cost reduction that violates quality, safety, privacy, or availability SLOs.</t>
  </si>
  <si>
    <t>Workbook map</t>
  </si>
  <si>
    <t>Inputs</t>
  </si>
  <si>
    <t>Editable prices, multipliers, budget thresholds, and application assumptions.</t>
  </si>
  <si>
    <t>Token Cost Model</t>
  </si>
  <si>
    <t>Formula-driven monthly token and cost calculations for each application.</t>
  </si>
  <si>
    <t>Agent Sensitivity</t>
  </si>
  <si>
    <t>Low/base/high agent cases with formula-driven costs.</t>
  </si>
  <si>
    <t>Chargeback &amp; Quotas</t>
  </si>
  <si>
    <t>Cost-center allocation, budget utilization, and recommended enforcement controls.</t>
  </si>
  <si>
    <t>Optimization Scenarios</t>
  </si>
  <si>
    <t>Savings cases with quality and safety guardrails.</t>
  </si>
  <si>
    <t>Sources</t>
  </si>
  <si>
    <t>Product and legal validation notes. Links must be checked at implementation time.</t>
  </si>
  <si>
    <t>Editable assumptions</t>
  </si>
  <si>
    <t>Assumption</t>
  </si>
  <si>
    <t>Value</t>
  </si>
  <si>
    <t>Notes</t>
  </si>
  <si>
    <t>Input token rate per 1M</t>
  </si>
  <si>
    <t>Illustrative only; replace with contracted SKU</t>
  </si>
  <si>
    <t>Output token rate per 1M</t>
  </si>
  <si>
    <t>Agent low multiplier</t>
  </si>
  <si>
    <t>Sensitivity case only</t>
  </si>
  <si>
    <t>Agent base multiplier</t>
  </si>
  <si>
    <t>Course planning case; replace with traces</t>
  </si>
  <si>
    <t>Agent high multiplier</t>
  </si>
  <si>
    <t>Stress case only</t>
  </si>
  <si>
    <t>Soft budget alert</t>
  </si>
  <si>
    <t>Notify owner and FinOps</t>
  </si>
  <si>
    <t>Escalation alert</t>
  </si>
  <si>
    <t>Require optimization or exception plan</t>
  </si>
  <si>
    <t>Hard quota threshold</t>
  </si>
  <si>
    <t>Use only where business impact is acceptable</t>
  </si>
  <si>
    <t>Optimization base case</t>
  </si>
  <si>
    <t>Planning case, not guaranteed</t>
  </si>
  <si>
    <t>Monthly GenAI budget</t>
  </si>
  <si>
    <t>Course assumption</t>
  </si>
  <si>
    <t>Application assumptions</t>
  </si>
  <si>
    <t>Application ID</t>
  </si>
  <si>
    <t>Application name</t>
  </si>
  <si>
    <t>Monthly tasks</t>
  </si>
  <si>
    <t>Input tokens/base task</t>
  </si>
  <si>
    <t>Output tokens/base task</t>
  </si>
  <si>
    <t>Calls/task</t>
  </si>
  <si>
    <t>Multiplier</t>
  </si>
  <si>
    <t>Cost center</t>
  </si>
  <si>
    <t>Monthly budget</t>
  </si>
  <si>
    <t>GLC-CX-Chat</t>
  </si>
  <si>
    <t>Customer support chatbot</t>
  </si>
  <si>
    <t>Customer Experience</t>
  </si>
  <si>
    <t>No executable tools</t>
  </si>
  <si>
    <t>GLC-NetAssist</t>
  </si>
  <si>
    <t>Network-optimization assistant</t>
  </si>
  <si>
    <t>Network Operations</t>
  </si>
  <si>
    <t>Recommendations only</t>
  </si>
  <si>
    <t>GLC-DocSum</t>
  </si>
  <si>
    <t>Shipment-document summarizer</t>
  </si>
  <si>
    <t>Document Operations</t>
  </si>
  <si>
    <t>Document-attack controls</t>
  </si>
  <si>
    <t>GLC-ExceptionAgent</t>
  </si>
  <si>
    <t>Exception-handling agent</t>
  </si>
  <si>
    <t>Exception Operations</t>
  </si>
  <si>
    <t>Base multiplier links to Agent base multiplier</t>
  </si>
  <si>
    <t>Monthly token cost model — base case</t>
  </si>
  <si>
    <t>Formula logic: tasks × base tokens × calls per task × multiplier. Agent values are planning assumptions until replaced with trace-based measurements.</t>
  </si>
  <si>
    <t>Monthly input tokens</t>
  </si>
  <si>
    <t>Monthly output tokens</t>
  </si>
  <si>
    <t>Input rate/1M</t>
  </si>
  <si>
    <t>Output rate/1M</t>
  </si>
  <si>
    <t>Monthly cost</t>
  </si>
  <si>
    <t>Cost/task</t>
  </si>
  <si>
    <t>Total</t>
  </si>
  <si>
    <t>Exception-agent token sensitivity</t>
  </si>
  <si>
    <t>These multipliers are planning cases, not an industry benchmark. Replace them with trace-based per-step inputs and outputs.</t>
  </si>
  <si>
    <t>Case</t>
  </si>
  <si>
    <t>Base input tokens</t>
  </si>
  <si>
    <t>Base output tokens</t>
  </si>
  <si>
    <t>Delta vs base</t>
  </si>
  <si>
    <t>Low</t>
  </si>
  <si>
    <t>Base</t>
  </si>
  <si>
    <t>High</t>
  </si>
  <si>
    <t>Cost allocation and quota guardrails</t>
  </si>
  <si>
    <t>Chargeback/showback uses invoice-reconciled cost. API gateway limits are technical controls and may not be perfectly exact in distributed enforcement.</t>
  </si>
  <si>
    <t>Budget utilization</t>
  </si>
  <si>
    <t>70% alert</t>
  </si>
  <si>
    <t>85% escalation</t>
  </si>
  <si>
    <t>100% quota</t>
  </si>
  <si>
    <t>Recommended counter key</t>
  </si>
  <si>
    <t>Control mode</t>
  </si>
  <si>
    <t>Owner action</t>
  </si>
  <si>
    <t>Alert + token-rate limit; period quota where business-safe</t>
  </si>
  <si>
    <t>Investigate driver, optimize, or request time-limited exception</t>
  </si>
  <si>
    <t>Portfolio total</t>
  </si>
  <si>
    <t>Optimization planning with quality and safety guardrails</t>
  </si>
  <si>
    <t>Estimated reductions are planning assumptions. Validate each change with the approved evaluation suite and production telemetry.</t>
  </si>
  <si>
    <t>Tactic</t>
  </si>
  <si>
    <t>Applicable workload</t>
  </si>
  <si>
    <t>Estimated reduction</t>
  </si>
  <si>
    <t>Baseline monthly cost</t>
  </si>
  <si>
    <t>Estimated savings</t>
  </si>
  <si>
    <t>Optimized cost</t>
  </si>
  <si>
    <t>Implementation note</t>
  </si>
  <si>
    <t>Quality guardrail</t>
  </si>
  <si>
    <t>Safety/privacy guardrail</t>
  </si>
  <si>
    <t>Evidence source</t>
  </si>
  <si>
    <t>Prompt and tool-schema reduction</t>
  </si>
  <si>
    <t>All, especially agent</t>
  </si>
  <si>
    <t>Remove unused tool definitions and compress stable instructions</t>
  </si>
  <si>
    <t>No &gt;2-point task-quality decline</t>
  </si>
  <si>
    <t>No new policy or safety failures</t>
  </si>
  <si>
    <t>Trace token breakdown + evaluation suite</t>
  </si>
  <si>
    <t>Model routing/tiering</t>
  </si>
  <si>
    <t>Chat and summarization</t>
  </si>
  <si>
    <t>Route approved low-complexity tasks to a lower-cost deployment</t>
  </si>
  <si>
    <t>Quality threshold by task class</t>
  </si>
  <si>
    <t>Maintain content-safety and data-boundary controls</t>
  </si>
  <si>
    <t>A/B evaluation + cost telemetry</t>
  </si>
  <si>
    <t>Caching where supported</t>
  </si>
  <si>
    <t>Repeated prompts/retrieval</t>
  </si>
  <si>
    <t>Cache stable prompts or retrieval results with expiry and data-scope keys</t>
  </si>
  <si>
    <t>Freshness and correctness checks</t>
  </si>
  <si>
    <t>No cross-user or cross-tenant data leakage</t>
  </si>
  <si>
    <t>Cache hit/miss + privacy tests</t>
  </si>
  <si>
    <t>Retry and output controls</t>
  </si>
  <si>
    <t>Agent and assistants</t>
  </si>
  <si>
    <t>Set retry ceilings, max tool iterations, and response-length limits</t>
  </si>
  <si>
    <t>No material completion loss</t>
  </si>
  <si>
    <t>Escalate instead of unsafe repeated execution</t>
  </si>
  <si>
    <t>Retry count + evaluator failure rate</t>
  </si>
  <si>
    <t>Combined planning case</t>
  </si>
  <si>
    <t>Validation sources and implementation notes</t>
  </si>
  <si>
    <t>Topic</t>
  </si>
  <si>
    <t>Source</t>
  </si>
  <si>
    <t>URL</t>
  </si>
  <si>
    <t>Use in workbook/course</t>
  </si>
  <si>
    <t>Token limits</t>
  </si>
  <si>
    <t>Microsoft Learn — llm-token-limit policy</t>
  </si>
  <si>
    <t>https://learn.microsoft.com/en-us/azure/api-management/llm-token-limit-policy</t>
  </si>
  <si>
    <t>Rate limit returns 429; quota returns 403; actual total tokens cannot be fully predicted before completion.</t>
  </si>
  <si>
    <t>Rate limits</t>
  </si>
  <si>
    <t>Microsoft Learn — rate-limit-by-key</t>
  </si>
  <si>
    <t>https://learn.microsoft.com/en-us/azure/api-management/rate-limit-by-key-policy</t>
  </si>
  <si>
    <t>Distributed throttling is not completely accurate.</t>
  </si>
  <si>
    <t>Quotas</t>
  </si>
  <si>
    <t>Microsoft Learn — quota-by-key</t>
  </si>
  <si>
    <t>https://learn.microsoft.com/en-us/azure/api-management/quota-by-key-policy</t>
  </si>
  <si>
    <t>Quota can briefly overshoot after service-platform restart.</t>
  </si>
  <si>
    <t>Agent traces</t>
  </si>
  <si>
    <t>Microsoft Foundry — agent tracing</t>
  </si>
  <si>
    <t>https://learn.microsoft.com/en-us/azure/foundry/observability/concepts/trace-agent-concept</t>
  </si>
  <si>
    <t>Traces include inputs, outputs, tools, retries, latency, and costs; check preview status.</t>
  </si>
  <si>
    <t>Data Zone</t>
  </si>
  <si>
    <t>Microsoft Foundry — region availability</t>
  </si>
  <si>
    <t>https://learn.microsoft.com/en-us/azure/foundry/foundry-models/concepts/models-sold-directly-by-azure-region-availability</t>
  </si>
  <si>
    <t>Data Zone processing can occur anywhere within the selected zone.</t>
  </si>
  <si>
    <t>Incident response</t>
  </si>
  <si>
    <t>Microsoft Cloud Security Benchmark v2</t>
  </si>
  <si>
    <t>https://learn.microsoft.com/en-us/security/benchmark/azure/mcsb-v2-incident-response</t>
  </si>
  <si>
    <t>Prioritize by asset criticality, business impact, threat severity, and regulatory requirements.</t>
  </si>
  <si>
    <t>EU AI Act</t>
  </si>
  <si>
    <t>Regulation (EU) 2024/1689</t>
  </si>
  <si>
    <t>https://eur-lex.europa.eu/eli/reg/2024/1689/oj</t>
  </si>
  <si>
    <t>High-risk classification is use-case specific; applicable high-risk logs have a six-month minimum.</t>
  </si>
  <si>
    <t>GDPR</t>
  </si>
  <si>
    <t>Regulation (EU) 2016/679</t>
  </si>
  <si>
    <t>https://eur-lex.europa.eu/eli/reg/2016/679/oj</t>
  </si>
  <si>
    <t>Data minimization, storage limitation, and automated-decision safeguards.</t>
  </si>
  <si>
    <t>LGPD</t>
  </si>
  <si>
    <t>Official English translation</t>
  </si>
  <si>
    <t>https://www.gov.br/anpd/pt-br/centrais-de-conteudo/outros-documentos-e-publicacoes-institucionais/lgpd-en-lei-no-13-709-capa.pdf</t>
  </si>
  <si>
    <t>Purpose-based retention and automated-decision review considerations.</t>
  </si>
  <si>
    <t>DPDP</t>
  </si>
  <si>
    <t>MeitY — DPDP Rules 2025</t>
  </si>
  <si>
    <t>https://www.meity.gov.in/documents/act-and-policies/digital-personal-data-protection-rules-2025-gDOxUjMtQWa</t>
  </si>
  <si>
    <t>Validate current Indian requirements and implementation timeline.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</si>
</sst>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#,##0"/>
    <numFmt numFmtId="166" formatCode="\$#,##0.0000"/>
    <numFmt numFmtId="167" formatCode="\$0.000000"/>
    <numFmt numFmtId="168" formatCode="0.0%"/>
  </numFmts>
  <fonts count="15">
    <font>
      <sz val="11"/>
      <name val="Carlito"/>
    </font>
    <font>
      <b/>
      <sz val="16"/>
      <color rgb="FFFFFFFF"/>
      <name val="Century Gothic"/>
      <family val="1"/>
    </font>
    <font>
      <sz val="11"/>
      <name val="Century Gothic"/>
      <family val="1"/>
    </font>
    <font>
      <b/>
      <sz val="11"/>
      <color rgb="FFFFFFFF"/>
      <name val="Century Gothic"/>
      <family val="1"/>
    </font>
    <font>
      <sz val="11"/>
      <color rgb="FF375623"/>
      <name val="Century Gothic"/>
      <family val="1"/>
    </font>
    <font>
      <b/>
      <sz val="11"/>
      <color rgb="FF17365D"/>
      <name val="Century Gothic"/>
      <family val="1"/>
    </font>
    <font>
      <b/>
      <sz val="18"/>
      <color rgb="FFFFFFFF"/>
      <name val="Century Gothic"/>
      <family val="1"/>
    </font>
    <font>
      <b/>
      <sz val="11"/>
      <name val="Century Gothic"/>
      <family val="1"/>
    </font>
    <font>
      <i/>
      <sz val="11"/>
      <color rgb="FF7F6000"/>
      <name val="Century Gothic"/>
      <family val="1"/>
    </font>
    <font>
      <b/>
      <sz val="11"/>
      <color theme="0"/>
      <name val="Century Gothic"/>
      <family val="1"/>
    </font>
    <font>
      <b/>
      <sz val="16"/>
      <color theme="0"/>
      <name val="Century Gothic"/>
      <family val="1"/>
    </font>
    <font>
      <u/>
      <sz val="11"/>
      <color theme="10"/>
      <name val="Carlito"/>
    </font>
    <font>
      <sz val="11"/>
      <color theme="10"/>
      <name val="Century Gothic"/>
      <family val="1"/>
    </font>
    <font>
      <sz val="10"/>
      <color rgb="FF7F6000"/>
      <name val="Century Gothic"/>
      <family val="1"/>
    </font>
    <font>
      <sz val="10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5" fillId="3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indent="1"/>
    </xf>
    <xf numFmtId="9" fontId="4" fillId="4" borderId="1" xfId="0" applyNumberFormat="1" applyFont="1" applyFill="1" applyBorder="1" applyAlignment="1">
      <alignment horizontal="left" vertical="center" indent="1"/>
    </xf>
    <xf numFmtId="165" fontId="4" fillId="4" borderId="1" xfId="0" applyNumberFormat="1" applyFont="1" applyFill="1" applyBorder="1" applyAlignment="1">
      <alignment horizontal="left" vertical="center" indent="1"/>
    </xf>
    <xf numFmtId="3" fontId="4" fillId="4" borderId="1" xfId="0" applyNumberFormat="1" applyFont="1" applyFill="1" applyBorder="1" applyAlignment="1">
      <alignment horizontal="left" vertical="center" indent="1"/>
    </xf>
    <xf numFmtId="4" fontId="4" fillId="4" borderId="1" xfId="0" applyNumberFormat="1" applyFont="1" applyFill="1" applyBorder="1" applyAlignment="1">
      <alignment horizontal="left" vertical="center" indent="1"/>
    </xf>
    <xf numFmtId="0" fontId="2" fillId="7" borderId="0" xfId="0" applyFont="1" applyFill="1" applyAlignment="1">
      <alignment vertical="center"/>
    </xf>
    <xf numFmtId="0" fontId="2" fillId="7" borderId="0" xfId="0" applyFont="1" applyFill="1"/>
    <xf numFmtId="0" fontId="8" fillId="5" borderId="0" xfId="0" applyFont="1" applyFill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5" fillId="6" borderId="0" xfId="0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 wrapText="1" indent="1"/>
    </xf>
    <xf numFmtId="3" fontId="2" fillId="0" borderId="0" xfId="0" applyNumberFormat="1" applyFont="1" applyAlignment="1">
      <alignment horizontal="left" vertical="center" indent="1"/>
    </xf>
    <xf numFmtId="4" fontId="2" fillId="0" borderId="0" xfId="0" applyNumberFormat="1" applyFont="1" applyAlignment="1">
      <alignment horizontal="left" vertical="center" indent="1"/>
    </xf>
    <xf numFmtId="166" fontId="2" fillId="0" borderId="0" xfId="0" applyNumberFormat="1" applyFont="1" applyAlignment="1">
      <alignment horizontal="left" vertical="center" indent="1"/>
    </xf>
    <xf numFmtId="164" fontId="2" fillId="0" borderId="0" xfId="0" applyNumberFormat="1" applyFont="1" applyAlignment="1">
      <alignment horizontal="left" vertical="center" indent="1"/>
    </xf>
    <xf numFmtId="167" fontId="2" fillId="0" borderId="0" xfId="0" applyNumberFormat="1" applyFont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164" fontId="5" fillId="6" borderId="0" xfId="0" applyNumberFormat="1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164" fontId="9" fillId="8" borderId="0" xfId="0" applyNumberFormat="1" applyFont="1" applyFill="1" applyAlignment="1">
      <alignment horizontal="left" vertical="center" indent="1"/>
    </xf>
    <xf numFmtId="167" fontId="9" fillId="8" borderId="0" xfId="0" applyNumberFormat="1" applyFont="1" applyFill="1" applyAlignment="1">
      <alignment horizontal="left" vertical="center" indent="1"/>
    </xf>
    <xf numFmtId="0" fontId="10" fillId="8" borderId="0" xfId="0" applyFont="1" applyFill="1" applyAlignment="1">
      <alignment horizontal="right" vertical="center" indent="1"/>
    </xf>
    <xf numFmtId="3" fontId="10" fillId="8" borderId="0" xfId="0" applyNumberFormat="1" applyFont="1" applyFill="1" applyAlignment="1">
      <alignment horizontal="right" vertical="center" indent="1"/>
    </xf>
    <xf numFmtId="4" fontId="10" fillId="8" borderId="0" xfId="0" applyNumberFormat="1" applyFont="1" applyFill="1" applyAlignment="1">
      <alignment horizontal="right" vertical="center" indent="1"/>
    </xf>
    <xf numFmtId="166" fontId="10" fillId="8" borderId="0" xfId="0" applyNumberFormat="1" applyFont="1" applyFill="1" applyAlignment="1">
      <alignment horizontal="right" vertical="center" indent="1"/>
    </xf>
    <xf numFmtId="0" fontId="5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right" vertical="center" indent="1"/>
    </xf>
    <xf numFmtId="0" fontId="5" fillId="0" borderId="1" xfId="0" applyFont="1" applyBorder="1" applyAlignment="1">
      <alignment horizontal="right" vertical="center" indent="1"/>
    </xf>
    <xf numFmtId="0" fontId="12" fillId="0" borderId="0" xfId="1" applyFont="1" applyAlignment="1">
      <alignment horizontal="left" vertical="center" wrapText="1" indent="1"/>
    </xf>
    <xf numFmtId="9" fontId="2" fillId="0" borderId="0" xfId="0" applyNumberFormat="1" applyFont="1" applyAlignment="1">
      <alignment horizontal="left" vertical="center" indent="1"/>
    </xf>
    <xf numFmtId="9" fontId="2" fillId="0" borderId="0" xfId="0" applyNumberFormat="1" applyFont="1" applyAlignment="1">
      <alignment vertical="center"/>
    </xf>
    <xf numFmtId="9" fontId="5" fillId="6" borderId="0" xfId="0" applyNumberFormat="1" applyFont="1" applyFill="1" applyAlignment="1">
      <alignment vertical="center"/>
    </xf>
    <xf numFmtId="168" fontId="2" fillId="0" borderId="0" xfId="0" applyNumberFormat="1" applyFont="1" applyAlignment="1">
      <alignment horizontal="left" vertical="center" indent="1"/>
    </xf>
    <xf numFmtId="168" fontId="5" fillId="6" borderId="0" xfId="0" applyNumberFormat="1" applyFont="1" applyFill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left" vertical="center" indent="1"/>
    </xf>
    <xf numFmtId="164" fontId="2" fillId="0" borderId="1" xfId="0" applyNumberFormat="1" applyFont="1" applyBorder="1" applyAlignment="1">
      <alignment horizontal="left" vertical="center" indent="1"/>
    </xf>
    <xf numFmtId="0" fontId="13" fillId="5" borderId="1" xfId="0" applyFont="1" applyFill="1" applyBorder="1" applyAlignment="1">
      <alignment vertical="center" wrapText="1"/>
    </xf>
    <xf numFmtId="0" fontId="14" fillId="7" borderId="0" xfId="0" applyFont="1" applyFill="1" applyAlignment="1">
      <alignment vertical="center"/>
    </xf>
    <xf numFmtId="0" fontId="14" fillId="7" borderId="0" xfId="0" applyFont="1" applyFill="1"/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alignment horizontal="left" vertical="center" textRotation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N"/>
              <a:t>Agent monthly cost by sensitivity case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719-9845-A99C-ECB9F2A52469}"/>
            </c:ext>
          </c:extLst>
        </c:ser>
        <c:ser>
          <c:idx val="1"/>
          <c:order val="1"/>
          <c:tx>
            <c:v>Monthly cost</c:v>
          </c:tx>
          <c:invertIfNegative val="1"/>
          <c:cat>
            <c:strRef>
              <c:f>'Agent Sensitivity'!$A$5:$A$7</c:f>
              <c:strCache>
                <c:ptCount val="3"/>
                <c:pt idx="0">
                  <c:v>Low</c:v>
                </c:pt>
                <c:pt idx="1">
                  <c:v>Base</c:v>
                </c:pt>
                <c:pt idx="2">
                  <c:v>High</c:v>
                </c:pt>
              </c:strCache>
            </c:strRef>
          </c:cat>
          <c:val>
            <c:numRef>
              <c:f>'Agent Sensitivity'!$K$5:$K$7</c:f>
              <c:numCache>
                <c:formatCode>\$#,##0.00</c:formatCode>
                <c:ptCount val="3"/>
                <c:pt idx="0">
                  <c:v>1425</c:v>
                </c:pt>
                <c:pt idx="1">
                  <c:v>3420</c:v>
                </c:pt>
                <c:pt idx="2">
                  <c:v>8550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9-9845-A99C-ECB9F2A52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7</xdr:row>
      <xdr:rowOff>0</xdr:rowOff>
    </xdr:from>
    <xdr:to>
      <xdr:col>7</xdr:col>
      <xdr:colOff>12700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kenCostTable" displayName="TokenCostTable" ref="A3:N7" headerRowDxfId="2" dataDxfId="0" totalsRowDxfId="1">
  <tableColumns count="14">
    <tableColumn id="1" xr3:uid="{00000000-0010-0000-0000-000001000000}" name="Application ID" dataDxfId="16"/>
    <tableColumn id="2" xr3:uid="{00000000-0010-0000-0000-000002000000}" name="Application name" dataDxfId="15"/>
    <tableColumn id="3" xr3:uid="{00000000-0010-0000-0000-000003000000}" name="Monthly tasks" dataDxfId="14"/>
    <tableColumn id="4" xr3:uid="{00000000-0010-0000-0000-000004000000}" name="Input tokens/base task" dataDxfId="13"/>
    <tableColumn id="5" xr3:uid="{00000000-0010-0000-0000-000005000000}" name="Output tokens/base task" dataDxfId="12"/>
    <tableColumn id="6" xr3:uid="{00000000-0010-0000-0000-000006000000}" name="Calls/task" dataDxfId="11"/>
    <tableColumn id="7" xr3:uid="{00000000-0010-0000-0000-000007000000}" name="Multiplier" dataDxfId="10"/>
    <tableColumn id="8" xr3:uid="{00000000-0010-0000-0000-000008000000}" name="Monthly input tokens" dataDxfId="9"/>
    <tableColumn id="9" xr3:uid="{00000000-0010-0000-0000-000009000000}" name="Monthly output tokens" dataDxfId="8"/>
    <tableColumn id="10" xr3:uid="{00000000-0010-0000-0000-00000A000000}" name="Input rate/1M" dataDxfId="7"/>
    <tableColumn id="11" xr3:uid="{00000000-0010-0000-0000-00000B000000}" name="Output rate/1M" dataDxfId="6"/>
    <tableColumn id="12" xr3:uid="{00000000-0010-0000-0000-00000C000000}" name="Monthly cost" dataDxfId="5"/>
    <tableColumn id="13" xr3:uid="{00000000-0010-0000-0000-00000D000000}" name="Cost/task" dataDxfId="4"/>
    <tableColumn id="14" xr3:uid="{00000000-0010-0000-0000-00000E000000}" name="Cost center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azure/foundry/foundry-models/concepts/models-sold-directly-by-azure-region-availability" TargetMode="External"/><Relationship Id="rId3" Type="http://schemas.openxmlformats.org/officeDocument/2006/relationships/hyperlink" Target="https://learn.microsoft.com/en-us/azure/api-management/rate-limit-by-key-policy" TargetMode="External"/><Relationship Id="rId7" Type="http://schemas.openxmlformats.org/officeDocument/2006/relationships/hyperlink" Target="https://www.meity.gov.in/documents/act-and-policies/digital-personal-data-protection-rules-2025-gDOxUjMtQWa" TargetMode="External"/><Relationship Id="rId2" Type="http://schemas.openxmlformats.org/officeDocument/2006/relationships/hyperlink" Target="https://learn.microsoft.com/en-us/azure/api-management/llm-token-limit-policy" TargetMode="External"/><Relationship Id="rId1" Type="http://schemas.openxmlformats.org/officeDocument/2006/relationships/hyperlink" Target="https://www.gov.br/anpd/pt-br/centrais-de-conteudo/outros-documentos-e-publicacoes-institucionais/lgpd-en-lei-no-13-709-capa.pdf" TargetMode="External"/><Relationship Id="rId6" Type="http://schemas.openxmlformats.org/officeDocument/2006/relationships/hyperlink" Target="https://eur-lex.europa.eu/eli/reg/2024/1689/oj" TargetMode="External"/><Relationship Id="rId5" Type="http://schemas.openxmlformats.org/officeDocument/2006/relationships/hyperlink" Target="https://learn.microsoft.com/en-us/azure/foundry/observability/concepts/trace-agent-concept" TargetMode="External"/><Relationship Id="rId10" Type="http://schemas.openxmlformats.org/officeDocument/2006/relationships/hyperlink" Target="https://learn.microsoft.com/en-us/security/benchmark/azure/mcsb-v2-incident-response" TargetMode="External"/><Relationship Id="rId4" Type="http://schemas.openxmlformats.org/officeDocument/2006/relationships/hyperlink" Target="https://learn.microsoft.com/en-us/azure/api-management/quota-by-key-policy" TargetMode="External"/><Relationship Id="rId9" Type="http://schemas.openxmlformats.org/officeDocument/2006/relationships/hyperlink" Target="https://eur-lex.europa.eu/eli/reg/2016/679/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B37" sqref="B37"/>
    </sheetView>
  </sheetViews>
  <sheetFormatPr baseColWidth="10" defaultColWidth="8.83203125" defaultRowHeight="14"/>
  <cols>
    <col min="1" max="1" width="24" style="10" customWidth="1"/>
    <col min="2" max="2" width="142.83203125" style="10" customWidth="1"/>
    <col min="3" max="16384" width="8.83203125" style="10"/>
  </cols>
  <sheetData>
    <row r="1" spans="1:8" ht="45.25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43" t="s">
        <v>1</v>
      </c>
      <c r="B2" s="43"/>
      <c r="C2" s="43"/>
      <c r="D2" s="43"/>
      <c r="E2" s="43"/>
      <c r="F2" s="43"/>
      <c r="G2" s="43"/>
      <c r="H2" s="43"/>
    </row>
    <row r="3" spans="1:8">
      <c r="A3" s="44" t="s">
        <v>2</v>
      </c>
      <c r="B3" s="44"/>
      <c r="C3" s="44"/>
      <c r="D3" s="44"/>
      <c r="E3" s="44"/>
      <c r="F3" s="44"/>
      <c r="G3" s="44"/>
      <c r="H3" s="44"/>
    </row>
    <row r="4" spans="1:8">
      <c r="A4" s="44"/>
      <c r="B4" s="44"/>
      <c r="C4" s="44"/>
      <c r="D4" s="44"/>
      <c r="E4" s="44"/>
      <c r="F4" s="44"/>
      <c r="G4" s="44"/>
      <c r="H4" s="44"/>
    </row>
    <row r="5" spans="1:8" ht="27" customHeight="1">
      <c r="A5" s="43" t="s">
        <v>3</v>
      </c>
      <c r="B5" s="43"/>
      <c r="C5" s="43"/>
      <c r="D5" s="43"/>
      <c r="E5" s="43"/>
      <c r="F5" s="43"/>
      <c r="G5" s="43"/>
      <c r="H5" s="43"/>
    </row>
    <row r="6" spans="1:8" ht="15">
      <c r="A6" s="45" t="s">
        <v>4</v>
      </c>
      <c r="B6" s="15" t="s">
        <v>5</v>
      </c>
      <c r="C6" s="13"/>
      <c r="D6" s="13"/>
      <c r="E6" s="13"/>
      <c r="F6" s="13"/>
      <c r="G6" s="13"/>
      <c r="H6" s="13"/>
    </row>
    <row r="7" spans="1:8" ht="15">
      <c r="A7" s="45" t="s">
        <v>6</v>
      </c>
      <c r="B7" s="15" t="s">
        <v>7</v>
      </c>
      <c r="C7" s="13"/>
      <c r="D7" s="13"/>
      <c r="E7" s="13"/>
      <c r="F7" s="13"/>
      <c r="G7" s="13"/>
      <c r="H7" s="13"/>
    </row>
    <row r="8" spans="1:8" ht="15">
      <c r="A8" s="45" t="s">
        <v>8</v>
      </c>
      <c r="B8" s="15" t="s">
        <v>9</v>
      </c>
      <c r="C8" s="13"/>
      <c r="D8" s="13"/>
      <c r="E8" s="13"/>
      <c r="F8" s="13"/>
      <c r="G8" s="13"/>
      <c r="H8" s="13"/>
    </row>
    <row r="9" spans="1:8" ht="15">
      <c r="A9" s="45" t="s">
        <v>10</v>
      </c>
      <c r="B9" s="15" t="s">
        <v>11</v>
      </c>
      <c r="C9" s="13"/>
      <c r="D9" s="13"/>
      <c r="E9" s="13"/>
      <c r="F9" s="13"/>
      <c r="G9" s="13"/>
      <c r="H9" s="13"/>
    </row>
    <row r="10" spans="1:8" ht="15">
      <c r="A10" s="45" t="s">
        <v>12</v>
      </c>
      <c r="B10" s="15" t="s">
        <v>13</v>
      </c>
      <c r="C10" s="13"/>
      <c r="D10" s="13"/>
      <c r="E10" s="13"/>
      <c r="F10" s="13"/>
      <c r="G10" s="13"/>
      <c r="H10" s="13"/>
    </row>
    <row r="11" spans="1:8" ht="15">
      <c r="A11" s="45" t="s">
        <v>14</v>
      </c>
      <c r="B11" s="15" t="s">
        <v>15</v>
      </c>
      <c r="C11" s="13"/>
      <c r="D11" s="13"/>
      <c r="E11" s="13"/>
      <c r="F11" s="13"/>
      <c r="G11" s="13"/>
      <c r="H11" s="13"/>
    </row>
    <row r="12" spans="1:8" ht="24" customHeight="1">
      <c r="A12" s="43" t="s">
        <v>16</v>
      </c>
      <c r="B12" s="43"/>
      <c r="C12" s="43"/>
      <c r="D12" s="43"/>
      <c r="E12" s="43"/>
      <c r="F12" s="43"/>
      <c r="G12" s="43"/>
      <c r="H12" s="43"/>
    </row>
    <row r="13" spans="1:8" ht="15">
      <c r="A13" s="46" t="s">
        <v>17</v>
      </c>
      <c r="B13" s="15" t="s">
        <v>18</v>
      </c>
      <c r="C13" s="13"/>
      <c r="D13" s="13"/>
      <c r="E13" s="13"/>
      <c r="F13" s="13"/>
      <c r="G13" s="13"/>
      <c r="H13" s="13"/>
    </row>
    <row r="14" spans="1:8" ht="15">
      <c r="A14" s="46" t="s">
        <v>19</v>
      </c>
      <c r="B14" s="15" t="s">
        <v>20</v>
      </c>
      <c r="C14" s="13"/>
      <c r="D14" s="13"/>
      <c r="E14" s="13"/>
      <c r="F14" s="13"/>
      <c r="G14" s="13"/>
      <c r="H14" s="13"/>
    </row>
    <row r="15" spans="1:8" ht="15">
      <c r="A15" s="46" t="s">
        <v>21</v>
      </c>
      <c r="B15" s="15" t="s">
        <v>22</v>
      </c>
      <c r="C15" s="13"/>
      <c r="D15" s="13"/>
      <c r="E15" s="13"/>
      <c r="F15" s="13"/>
      <c r="G15" s="13"/>
      <c r="H15" s="13"/>
    </row>
    <row r="16" spans="1:8" ht="15">
      <c r="A16" s="46" t="s">
        <v>23</v>
      </c>
      <c r="B16" s="15" t="s">
        <v>24</v>
      </c>
      <c r="C16" s="13"/>
      <c r="D16" s="13"/>
      <c r="E16" s="13"/>
      <c r="F16" s="13"/>
      <c r="G16" s="13"/>
      <c r="H16" s="13"/>
    </row>
    <row r="17" spans="1:8" ht="15">
      <c r="A17" s="46" t="s">
        <v>25</v>
      </c>
      <c r="B17" s="15" t="s">
        <v>26</v>
      </c>
      <c r="C17" s="13"/>
      <c r="D17" s="13"/>
      <c r="E17" s="13"/>
      <c r="F17" s="13"/>
      <c r="G17" s="13"/>
      <c r="H17" s="13"/>
    </row>
    <row r="18" spans="1:8" ht="15">
      <c r="A18" s="46" t="s">
        <v>27</v>
      </c>
      <c r="B18" s="15" t="s">
        <v>28</v>
      </c>
      <c r="C18" s="13"/>
      <c r="D18" s="13"/>
      <c r="E18" s="13"/>
      <c r="F18" s="13"/>
      <c r="G18" s="13"/>
      <c r="H18" s="13"/>
    </row>
  </sheetData>
  <mergeCells count="5">
    <mergeCell ref="A1:H1"/>
    <mergeCell ref="A2:H2"/>
    <mergeCell ref="A3:H4"/>
    <mergeCell ref="A5:H5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"/>
  <sheetViews>
    <sheetView tabSelected="1" workbookViewId="0">
      <selection activeCell="B51" sqref="B51"/>
    </sheetView>
  </sheetViews>
  <sheetFormatPr baseColWidth="10" defaultColWidth="8.83203125" defaultRowHeight="14"/>
  <cols>
    <col min="1" max="1" width="27" style="11" customWidth="1"/>
    <col min="2" max="2" width="32.1640625" style="11" bestFit="1" customWidth="1"/>
    <col min="3" max="3" width="44.83203125" style="11" customWidth="1"/>
    <col min="4" max="4" width="9.33203125" style="11" customWidth="1"/>
    <col min="5" max="5" width="10.5" style="11" customWidth="1"/>
    <col min="6" max="6" width="7.6640625" style="11" customWidth="1"/>
    <col min="7" max="7" width="11" style="11" bestFit="1" customWidth="1"/>
    <col min="8" max="8" width="23" style="11" bestFit="1" customWidth="1"/>
    <col min="9" max="9" width="9.83203125" style="11" bestFit="1" customWidth="1"/>
    <col min="10" max="10" width="54.6640625" style="11" customWidth="1"/>
    <col min="11" max="16384" width="8.83203125" style="11"/>
  </cols>
  <sheetData>
    <row r="1" spans="1:26" ht="34" customHeight="1">
      <c r="A1" s="4" t="s">
        <v>29</v>
      </c>
      <c r="B1" s="4"/>
      <c r="C1" s="4"/>
      <c r="D1" s="4"/>
      <c r="E1" s="4"/>
      <c r="F1" s="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3" customHeight="1">
      <c r="A2" s="12" t="s">
        <v>30</v>
      </c>
      <c r="B2" s="12" t="s">
        <v>31</v>
      </c>
      <c r="C2" s="12" t="s">
        <v>32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>
      <c r="A3" s="13" t="s">
        <v>33</v>
      </c>
      <c r="B3" s="14">
        <v>2.5</v>
      </c>
      <c r="C3" s="15" t="s">
        <v>34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>
      <c r="A4" s="13" t="s">
        <v>35</v>
      </c>
      <c r="B4" s="14">
        <v>10</v>
      </c>
      <c r="C4" s="15" t="s">
        <v>34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>
      <c r="A5" s="13" t="s">
        <v>36</v>
      </c>
      <c r="B5" s="16">
        <v>5</v>
      </c>
      <c r="C5" s="15" t="s">
        <v>37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>
      <c r="A6" s="13" t="s">
        <v>38</v>
      </c>
      <c r="B6" s="16">
        <v>12</v>
      </c>
      <c r="C6" s="15" t="s">
        <v>39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>
      <c r="A7" s="13" t="s">
        <v>40</v>
      </c>
      <c r="B7" s="16">
        <v>30</v>
      </c>
      <c r="C7" s="15" t="s">
        <v>41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>
      <c r="A8" s="13" t="s">
        <v>42</v>
      </c>
      <c r="B8" s="17">
        <v>0.7</v>
      </c>
      <c r="C8" s="15" t="s">
        <v>43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>
      <c r="A9" s="13" t="s">
        <v>44</v>
      </c>
      <c r="B9" s="17">
        <v>0.85</v>
      </c>
      <c r="C9" s="15" t="s">
        <v>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>
      <c r="A10" s="13" t="s">
        <v>46</v>
      </c>
      <c r="B10" s="17">
        <v>1</v>
      </c>
      <c r="C10" s="15" t="s">
        <v>47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>
      <c r="A11" s="13" t="s">
        <v>48</v>
      </c>
      <c r="B11" s="17">
        <v>0.25</v>
      </c>
      <c r="C11" s="15" t="s">
        <v>49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>
      <c r="A12" s="13" t="s">
        <v>50</v>
      </c>
      <c r="B12" s="18">
        <v>50000</v>
      </c>
      <c r="C12" s="15" t="s">
        <v>51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7" customHeight="1">
      <c r="A13" s="8" t="s">
        <v>52</v>
      </c>
      <c r="B13" s="8"/>
      <c r="C13" s="8"/>
      <c r="D13" s="8"/>
      <c r="E13" s="8"/>
      <c r="F13" s="8"/>
      <c r="G13" s="8"/>
      <c r="H13" s="8"/>
      <c r="I13" s="8"/>
      <c r="J13" s="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66" customHeight="1">
      <c r="A14" s="12" t="s">
        <v>53</v>
      </c>
      <c r="B14" s="12" t="s">
        <v>54</v>
      </c>
      <c r="C14" s="12" t="s">
        <v>55</v>
      </c>
      <c r="D14" s="12" t="s">
        <v>56</v>
      </c>
      <c r="E14" s="12" t="s">
        <v>57</v>
      </c>
      <c r="F14" s="12" t="s">
        <v>58</v>
      </c>
      <c r="G14" s="12" t="s">
        <v>59</v>
      </c>
      <c r="H14" s="12" t="s">
        <v>60</v>
      </c>
      <c r="I14" s="12" t="s">
        <v>61</v>
      </c>
      <c r="J14" s="12" t="s">
        <v>32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>
      <c r="A15" s="13" t="s">
        <v>62</v>
      </c>
      <c r="B15" s="13" t="s">
        <v>63</v>
      </c>
      <c r="C15" s="19">
        <v>2000000</v>
      </c>
      <c r="D15" s="20">
        <v>900</v>
      </c>
      <c r="E15" s="20">
        <v>250</v>
      </c>
      <c r="F15" s="20">
        <v>1</v>
      </c>
      <c r="G15" s="20">
        <v>1</v>
      </c>
      <c r="H15" s="13" t="s">
        <v>64</v>
      </c>
      <c r="I15" s="18">
        <v>12000</v>
      </c>
      <c r="J15" s="15" t="s">
        <v>65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>
      <c r="A16" s="13" t="s">
        <v>66</v>
      </c>
      <c r="B16" s="13" t="s">
        <v>67</v>
      </c>
      <c r="C16" s="19">
        <v>300000</v>
      </c>
      <c r="D16" s="20">
        <v>1800</v>
      </c>
      <c r="E16" s="20">
        <v>600</v>
      </c>
      <c r="F16" s="20">
        <v>1</v>
      </c>
      <c r="G16" s="20">
        <v>1</v>
      </c>
      <c r="H16" s="13" t="s">
        <v>68</v>
      </c>
      <c r="I16" s="18">
        <v>8000</v>
      </c>
      <c r="J16" s="15" t="s">
        <v>69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>
      <c r="A17" s="13" t="s">
        <v>70</v>
      </c>
      <c r="B17" s="13" t="s">
        <v>71</v>
      </c>
      <c r="C17" s="19">
        <v>500000</v>
      </c>
      <c r="D17" s="20">
        <v>3000</v>
      </c>
      <c r="E17" s="20">
        <v>500</v>
      </c>
      <c r="F17" s="20">
        <v>1</v>
      </c>
      <c r="G17" s="20">
        <v>1</v>
      </c>
      <c r="H17" s="13" t="s">
        <v>72</v>
      </c>
      <c r="I17" s="18">
        <v>15000</v>
      </c>
      <c r="J17" s="15" t="s">
        <v>73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>
      <c r="A18" s="13" t="s">
        <v>74</v>
      </c>
      <c r="B18" s="13" t="s">
        <v>75</v>
      </c>
      <c r="C18" s="19">
        <v>60000</v>
      </c>
      <c r="D18" s="20">
        <v>900</v>
      </c>
      <c r="E18" s="20">
        <v>250</v>
      </c>
      <c r="F18" s="20">
        <v>1</v>
      </c>
      <c r="G18" s="20">
        <f>B6</f>
        <v>12</v>
      </c>
      <c r="H18" s="13" t="s">
        <v>76</v>
      </c>
      <c r="I18" s="18">
        <v>15000</v>
      </c>
      <c r="J18" s="15" t="s">
        <v>77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</sheetData>
  <mergeCells count="2">
    <mergeCell ref="A1:F1"/>
    <mergeCell ref="A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workbookViewId="0">
      <selection activeCell="C15" sqref="C15"/>
    </sheetView>
  </sheetViews>
  <sheetFormatPr baseColWidth="10" defaultColWidth="8.83203125" defaultRowHeight="14"/>
  <cols>
    <col min="1" max="1" width="22" style="10" customWidth="1"/>
    <col min="2" max="2" width="34.5" style="10" customWidth="1"/>
    <col min="3" max="3" width="13" style="10" customWidth="1"/>
    <col min="4" max="4" width="17" style="10" customWidth="1"/>
    <col min="5" max="5" width="15.1640625" style="10" customWidth="1"/>
    <col min="6" max="6" width="10" style="10" customWidth="1"/>
    <col min="7" max="7" width="11.5" style="10" customWidth="1"/>
    <col min="8" max="9" width="19" style="10" customWidth="1"/>
    <col min="10" max="11" width="14" style="10" customWidth="1"/>
    <col min="12" max="12" width="15" style="10" customWidth="1"/>
    <col min="13" max="13" width="13" style="10" customWidth="1"/>
    <col min="14" max="14" width="31.83203125" style="10" customWidth="1"/>
    <col min="15" max="16384" width="8.83203125" style="10"/>
  </cols>
  <sheetData>
    <row r="1" spans="1:14" ht="21">
      <c r="A1" s="4" t="s">
        <v>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7" customHeight="1">
      <c r="A2" s="28" t="s">
        <v>79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45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  <c r="G3" s="6" t="s">
        <v>59</v>
      </c>
      <c r="H3" s="6" t="s">
        <v>80</v>
      </c>
      <c r="I3" s="6" t="s">
        <v>81</v>
      </c>
      <c r="J3" s="6" t="s">
        <v>82</v>
      </c>
      <c r="K3" s="6" t="s">
        <v>83</v>
      </c>
      <c r="L3" s="6" t="s">
        <v>84</v>
      </c>
      <c r="M3" s="6" t="s">
        <v>85</v>
      </c>
      <c r="N3" s="6" t="s">
        <v>60</v>
      </c>
    </row>
    <row r="4" spans="1:14" ht="25" customHeight="1">
      <c r="A4" s="5" t="str">
        <f>Inputs!A15</f>
        <v>GLC-CX-Chat</v>
      </c>
      <c r="B4" s="5" t="str">
        <f>Inputs!B15</f>
        <v>Customer support chatbot</v>
      </c>
      <c r="C4" s="29">
        <f>Inputs!C15</f>
        <v>2000000</v>
      </c>
      <c r="D4" s="30">
        <f>Inputs!D15</f>
        <v>900</v>
      </c>
      <c r="E4" s="30">
        <f>Inputs!E15</f>
        <v>250</v>
      </c>
      <c r="F4" s="30">
        <f>Inputs!F15</f>
        <v>1</v>
      </c>
      <c r="G4" s="30">
        <f>Inputs!G15</f>
        <v>1</v>
      </c>
      <c r="H4" s="30">
        <f>C4*D4*F4*G4</f>
        <v>1800000000</v>
      </c>
      <c r="I4" s="30">
        <f>C4*E4*F4*G4</f>
        <v>500000000</v>
      </c>
      <c r="J4" s="31">
        <f>Inputs!$B$3</f>
        <v>2.5</v>
      </c>
      <c r="K4" s="31">
        <f>Inputs!$B$4</f>
        <v>10</v>
      </c>
      <c r="L4" s="32">
        <f>(H4/1000000)*J4+(I4/1000000)*K4</f>
        <v>9500</v>
      </c>
      <c r="M4" s="33">
        <f>IFERROR(L4/C4,0)</f>
        <v>4.7499999999999999E-3</v>
      </c>
      <c r="N4" s="5" t="str">
        <f>Inputs!H15</f>
        <v>Customer Experience</v>
      </c>
    </row>
    <row r="5" spans="1:14" ht="25" customHeight="1">
      <c r="A5" s="5" t="str">
        <f>Inputs!A16</f>
        <v>GLC-NetAssist</v>
      </c>
      <c r="B5" s="5" t="str">
        <f>Inputs!B16</f>
        <v>Network-optimization assistant</v>
      </c>
      <c r="C5" s="29">
        <f>Inputs!C16</f>
        <v>300000</v>
      </c>
      <c r="D5" s="30">
        <f>Inputs!D16</f>
        <v>1800</v>
      </c>
      <c r="E5" s="30">
        <f>Inputs!E16</f>
        <v>600</v>
      </c>
      <c r="F5" s="30">
        <f>Inputs!F16</f>
        <v>1</v>
      </c>
      <c r="G5" s="30">
        <f>Inputs!G16</f>
        <v>1</v>
      </c>
      <c r="H5" s="30">
        <f>C5*D5*F5*G5</f>
        <v>540000000</v>
      </c>
      <c r="I5" s="30">
        <f>C5*E5*F5*G5</f>
        <v>180000000</v>
      </c>
      <c r="J5" s="31">
        <f>Inputs!$B$3</f>
        <v>2.5</v>
      </c>
      <c r="K5" s="31">
        <f>Inputs!$B$4</f>
        <v>10</v>
      </c>
      <c r="L5" s="32">
        <f>(H5/1000000)*J5+(I5/1000000)*K5</f>
        <v>3150</v>
      </c>
      <c r="M5" s="33">
        <f>IFERROR(L5/C5,0)</f>
        <v>1.0500000000000001E-2</v>
      </c>
      <c r="N5" s="5" t="str">
        <f>Inputs!H16</f>
        <v>Network Operations</v>
      </c>
    </row>
    <row r="6" spans="1:14" ht="25" customHeight="1">
      <c r="A6" s="5" t="str">
        <f>Inputs!A17</f>
        <v>GLC-DocSum</v>
      </c>
      <c r="B6" s="5" t="str">
        <f>Inputs!B17</f>
        <v>Shipment-document summarizer</v>
      </c>
      <c r="C6" s="29">
        <f>Inputs!C17</f>
        <v>500000</v>
      </c>
      <c r="D6" s="30">
        <f>Inputs!D17</f>
        <v>3000</v>
      </c>
      <c r="E6" s="30">
        <f>Inputs!E17</f>
        <v>500</v>
      </c>
      <c r="F6" s="30">
        <f>Inputs!F17</f>
        <v>1</v>
      </c>
      <c r="G6" s="30">
        <f>Inputs!G17</f>
        <v>1</v>
      </c>
      <c r="H6" s="30">
        <f>C6*D6*F6*G6</f>
        <v>1500000000</v>
      </c>
      <c r="I6" s="30">
        <f>C6*E6*F6*G6</f>
        <v>250000000</v>
      </c>
      <c r="J6" s="31">
        <f>Inputs!$B$3</f>
        <v>2.5</v>
      </c>
      <c r="K6" s="31">
        <f>Inputs!$B$4</f>
        <v>10</v>
      </c>
      <c r="L6" s="32">
        <f>(H6/1000000)*J6+(I6/1000000)*K6</f>
        <v>6250</v>
      </c>
      <c r="M6" s="33">
        <f>IFERROR(L6/C6,0)</f>
        <v>1.2500000000000001E-2</v>
      </c>
      <c r="N6" s="5" t="str">
        <f>Inputs!H17</f>
        <v>Document Operations</v>
      </c>
    </row>
    <row r="7" spans="1:14" ht="25" customHeight="1">
      <c r="A7" s="5" t="str">
        <f>Inputs!A18</f>
        <v>GLC-ExceptionAgent</v>
      </c>
      <c r="B7" s="5" t="str">
        <f>Inputs!B18</f>
        <v>Exception-handling agent</v>
      </c>
      <c r="C7" s="29">
        <f>Inputs!C18</f>
        <v>60000</v>
      </c>
      <c r="D7" s="30">
        <f>Inputs!D18</f>
        <v>900</v>
      </c>
      <c r="E7" s="30">
        <f>Inputs!E18</f>
        <v>250</v>
      </c>
      <c r="F7" s="30">
        <f>Inputs!F18</f>
        <v>1</v>
      </c>
      <c r="G7" s="30">
        <f>Inputs!G18</f>
        <v>12</v>
      </c>
      <c r="H7" s="30">
        <f>C7*D7*F7*G7</f>
        <v>648000000</v>
      </c>
      <c r="I7" s="30">
        <f>C7*E7*F7*G7</f>
        <v>180000000</v>
      </c>
      <c r="J7" s="31">
        <f>Inputs!$B$3</f>
        <v>2.5</v>
      </c>
      <c r="K7" s="31">
        <f>Inputs!$B$4</f>
        <v>10</v>
      </c>
      <c r="L7" s="32">
        <f>(H7/1000000)*J7+(I7/1000000)*K7</f>
        <v>3420</v>
      </c>
      <c r="M7" s="33">
        <f>IFERROR(L7/C7,0)</f>
        <v>5.7000000000000002E-2</v>
      </c>
      <c r="N7" s="5" t="str">
        <f>Inputs!H18</f>
        <v>Exception Operations</v>
      </c>
    </row>
    <row r="8" spans="1:14" ht="30" customHeight="1">
      <c r="A8" s="39" t="s">
        <v>86</v>
      </c>
      <c r="B8" s="39"/>
      <c r="C8" s="40"/>
      <c r="D8" s="41"/>
      <c r="E8" s="41"/>
      <c r="F8" s="41"/>
      <c r="G8" s="41"/>
      <c r="H8" s="41"/>
      <c r="I8" s="41"/>
      <c r="J8" s="42"/>
      <c r="K8" s="42"/>
      <c r="L8" s="37">
        <f>SUM(L4:L7)</f>
        <v>22320</v>
      </c>
      <c r="M8" s="38">
        <f>IFERROR(L8/SUM(C4:C7),0)</f>
        <v>7.8041958041958044E-3</v>
      </c>
      <c r="N8" s="36"/>
    </row>
  </sheetData>
  <mergeCells count="3">
    <mergeCell ref="A1:N1"/>
    <mergeCell ref="A2:N2"/>
    <mergeCell ref="A8:K8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selection activeCell="K14" sqref="K14"/>
    </sheetView>
  </sheetViews>
  <sheetFormatPr baseColWidth="10" defaultColWidth="8.83203125" defaultRowHeight="14"/>
  <cols>
    <col min="1" max="1" width="12" style="22" customWidth="1"/>
    <col min="2" max="2" width="14" style="22" customWidth="1"/>
    <col min="3" max="3" width="17" style="22" customWidth="1"/>
    <col min="4" max="4" width="19.83203125" style="22" customWidth="1"/>
    <col min="5" max="6" width="12" style="22" customWidth="1"/>
    <col min="7" max="7" width="20.83203125" style="22" customWidth="1"/>
    <col min="8" max="8" width="24.1640625" style="22" customWidth="1"/>
    <col min="9" max="9" width="14" style="22" customWidth="1"/>
    <col min="10" max="10" width="16.83203125" style="22" customWidth="1"/>
    <col min="11" max="12" width="16" style="22" customWidth="1"/>
    <col min="13" max="16384" width="8.83203125" style="22"/>
  </cols>
  <sheetData>
    <row r="1" spans="1:26" ht="35" customHeight="1">
      <c r="A1" s="54" t="s">
        <v>87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s="61" customFormat="1" ht="20" customHeight="1">
      <c r="A2" s="59" t="s">
        <v>88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29" customHeight="1">
      <c r="A4" s="56" t="s">
        <v>89</v>
      </c>
      <c r="B4" s="56" t="s">
        <v>55</v>
      </c>
      <c r="C4" s="56" t="s">
        <v>90</v>
      </c>
      <c r="D4" s="56" t="s">
        <v>91</v>
      </c>
      <c r="E4" s="56" t="s">
        <v>58</v>
      </c>
      <c r="F4" s="56" t="s">
        <v>59</v>
      </c>
      <c r="G4" s="56" t="s">
        <v>80</v>
      </c>
      <c r="H4" s="56" t="s">
        <v>81</v>
      </c>
      <c r="I4" s="56" t="s">
        <v>82</v>
      </c>
      <c r="J4" s="56" t="s">
        <v>83</v>
      </c>
      <c r="K4" s="56" t="s">
        <v>84</v>
      </c>
      <c r="L4" s="56" t="s">
        <v>92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s="11" customFormat="1" ht="27" customHeight="1">
      <c r="A5" s="13" t="s">
        <v>93</v>
      </c>
      <c r="B5" s="57">
        <f>Inputs!C18</f>
        <v>60000</v>
      </c>
      <c r="C5" s="57">
        <f>Inputs!D18</f>
        <v>900</v>
      </c>
      <c r="D5" s="57">
        <f>Inputs!E18</f>
        <v>250</v>
      </c>
      <c r="E5" s="57">
        <f>Inputs!F18</f>
        <v>1</v>
      </c>
      <c r="F5" s="57">
        <f>Inputs!B5</f>
        <v>5</v>
      </c>
      <c r="G5" s="57">
        <f>B5*C5*E5*F5</f>
        <v>270000000</v>
      </c>
      <c r="H5" s="57">
        <f>B5*D5*E5*F5</f>
        <v>75000000</v>
      </c>
      <c r="I5" s="58">
        <f>Inputs!$B$3</f>
        <v>2.5</v>
      </c>
      <c r="J5" s="58">
        <f>Inputs!$B$4</f>
        <v>10</v>
      </c>
      <c r="K5" s="58">
        <f>(G5/1000000)*I5+(H5/1000000)*J5</f>
        <v>1425</v>
      </c>
      <c r="L5" s="58">
        <f>K5-$K$6</f>
        <v>-1995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s="11" customFormat="1" ht="27" customHeight="1">
      <c r="A6" s="13" t="s">
        <v>94</v>
      </c>
      <c r="B6" s="57">
        <f>Inputs!C18</f>
        <v>60000</v>
      </c>
      <c r="C6" s="57">
        <f>Inputs!D18</f>
        <v>900</v>
      </c>
      <c r="D6" s="57">
        <f>Inputs!E18</f>
        <v>250</v>
      </c>
      <c r="E6" s="57">
        <f>Inputs!F18</f>
        <v>1</v>
      </c>
      <c r="F6" s="57">
        <f>Inputs!B6</f>
        <v>12</v>
      </c>
      <c r="G6" s="57">
        <f>B6*C6*E6*F6</f>
        <v>648000000</v>
      </c>
      <c r="H6" s="57">
        <f>B6*D6*E6*F6</f>
        <v>180000000</v>
      </c>
      <c r="I6" s="58">
        <f>Inputs!$B$3</f>
        <v>2.5</v>
      </c>
      <c r="J6" s="58">
        <f>Inputs!$B$4</f>
        <v>10</v>
      </c>
      <c r="K6" s="58">
        <f>(G6/1000000)*I6+(H6/1000000)*J6</f>
        <v>3420</v>
      </c>
      <c r="L6" s="58">
        <f>K6-$K$6</f>
        <v>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s="11" customFormat="1" ht="27" customHeight="1">
      <c r="A7" s="13" t="s">
        <v>95</v>
      </c>
      <c r="B7" s="57">
        <f>Inputs!C18</f>
        <v>60000</v>
      </c>
      <c r="C7" s="57">
        <f>Inputs!D18</f>
        <v>900</v>
      </c>
      <c r="D7" s="57">
        <f>Inputs!E18</f>
        <v>250</v>
      </c>
      <c r="E7" s="57">
        <f>Inputs!F18</f>
        <v>1</v>
      </c>
      <c r="F7" s="57">
        <f>Inputs!B7</f>
        <v>30</v>
      </c>
      <c r="G7" s="57">
        <f>B7*C7*E7*F7</f>
        <v>1620000000</v>
      </c>
      <c r="H7" s="57">
        <f>B7*D7*E7*F7</f>
        <v>450000000</v>
      </c>
      <c r="I7" s="58">
        <f>Inputs!$B$3</f>
        <v>2.5</v>
      </c>
      <c r="J7" s="58">
        <f>Inputs!$B$4</f>
        <v>10</v>
      </c>
      <c r="K7" s="58">
        <f>(G7/1000000)*I7+(H7/1000000)*J7</f>
        <v>8550</v>
      </c>
      <c r="L7" s="58">
        <f>K7-$K$6</f>
        <v>5130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selection activeCell="J18" sqref="J18"/>
    </sheetView>
  </sheetViews>
  <sheetFormatPr baseColWidth="10" defaultColWidth="8.83203125" defaultRowHeight="14"/>
  <cols>
    <col min="1" max="1" width="23" style="3" bestFit="1" customWidth="1"/>
    <col min="2" max="2" width="22" style="3" customWidth="1"/>
    <col min="3" max="4" width="14" style="3" customWidth="1"/>
    <col min="5" max="5" width="15" style="3" customWidth="1"/>
    <col min="6" max="8" width="14" style="3" customWidth="1"/>
    <col min="9" max="9" width="44" style="3" customWidth="1"/>
    <col min="10" max="10" width="64" style="3" customWidth="1"/>
    <col min="11" max="11" width="64.83203125" style="3" customWidth="1"/>
    <col min="12" max="16384" width="8.83203125" style="3"/>
  </cols>
  <sheetData>
    <row r="1" spans="1:26" ht="2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3" t="s">
        <v>97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" customHeight="1">
      <c r="A4" s="6" t="s">
        <v>60</v>
      </c>
      <c r="B4" s="6" t="s">
        <v>53</v>
      </c>
      <c r="C4" s="6" t="s">
        <v>84</v>
      </c>
      <c r="D4" s="6" t="s">
        <v>61</v>
      </c>
      <c r="E4" s="6" t="s">
        <v>98</v>
      </c>
      <c r="F4" s="6" t="s">
        <v>99</v>
      </c>
      <c r="G4" s="6" t="s">
        <v>100</v>
      </c>
      <c r="H4" s="6" t="s">
        <v>101</v>
      </c>
      <c r="I4" s="6" t="s">
        <v>102</v>
      </c>
      <c r="J4" s="6" t="s">
        <v>103</v>
      </c>
      <c r="K4" s="6" t="s">
        <v>104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" customHeight="1">
      <c r="A5" s="5" t="str">
        <f>'Token Cost Model'!N4</f>
        <v>Customer Experience</v>
      </c>
      <c r="B5" s="5" t="str">
        <f>'Token Cost Model'!A4</f>
        <v>GLC-CX-Chat</v>
      </c>
      <c r="C5" s="32">
        <f>'Token Cost Model'!L4</f>
        <v>9500</v>
      </c>
      <c r="D5" s="32">
        <f>Inputs!I15</f>
        <v>12000</v>
      </c>
      <c r="E5" s="51">
        <f>IFERROR(C5/D5,0)</f>
        <v>0.79166666666666663</v>
      </c>
      <c r="F5" s="32">
        <f>D5*Inputs!$B$8</f>
        <v>8400</v>
      </c>
      <c r="G5" s="32">
        <f>D5*Inputs!$B$9</f>
        <v>10200</v>
      </c>
      <c r="H5" s="32">
        <f>D5*Inputs!$B$10</f>
        <v>12000</v>
      </c>
      <c r="I5" s="5" t="str">
        <f>B5&amp;"|"&amp;A5</f>
        <v>GLC-CX-Chat|Customer Experience</v>
      </c>
      <c r="J5" s="53" t="s">
        <v>105</v>
      </c>
      <c r="K5" s="53" t="s">
        <v>106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" customHeight="1">
      <c r="A6" s="5" t="str">
        <f>'Token Cost Model'!N5</f>
        <v>Network Operations</v>
      </c>
      <c r="B6" s="5" t="str">
        <f>'Token Cost Model'!A5</f>
        <v>GLC-NetAssist</v>
      </c>
      <c r="C6" s="32">
        <f>'Token Cost Model'!L5</f>
        <v>3150</v>
      </c>
      <c r="D6" s="32">
        <f>Inputs!I16</f>
        <v>8000</v>
      </c>
      <c r="E6" s="51">
        <f>IFERROR(C6/D6,0)</f>
        <v>0.39374999999999999</v>
      </c>
      <c r="F6" s="32">
        <f>D6*Inputs!$B$8</f>
        <v>5600</v>
      </c>
      <c r="G6" s="32">
        <f>D6*Inputs!$B$9</f>
        <v>6800</v>
      </c>
      <c r="H6" s="32">
        <f>D6*Inputs!$B$10</f>
        <v>8000</v>
      </c>
      <c r="I6" s="5" t="str">
        <f>B6&amp;"|"&amp;A6</f>
        <v>GLC-NetAssist|Network Operations</v>
      </c>
      <c r="J6" s="53"/>
      <c r="K6" s="5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" customHeight="1">
      <c r="A7" s="5" t="str">
        <f>'Token Cost Model'!N6</f>
        <v>Document Operations</v>
      </c>
      <c r="B7" s="5" t="str">
        <f>'Token Cost Model'!A6</f>
        <v>GLC-DocSum</v>
      </c>
      <c r="C7" s="32">
        <f>'Token Cost Model'!L6</f>
        <v>6250</v>
      </c>
      <c r="D7" s="32">
        <f>Inputs!I17</f>
        <v>15000</v>
      </c>
      <c r="E7" s="51">
        <f>IFERROR(C7/D7,0)</f>
        <v>0.41666666666666669</v>
      </c>
      <c r="F7" s="32">
        <f>D7*Inputs!$B$8</f>
        <v>10500</v>
      </c>
      <c r="G7" s="32">
        <f>D7*Inputs!$B$9</f>
        <v>12750</v>
      </c>
      <c r="H7" s="32">
        <f>D7*Inputs!$B$10</f>
        <v>15000</v>
      </c>
      <c r="I7" s="5" t="str">
        <f>B7&amp;"|"&amp;A7</f>
        <v>GLC-DocSum|Document Operations</v>
      </c>
      <c r="J7" s="53"/>
      <c r="K7" s="5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" customHeight="1">
      <c r="A8" s="5" t="str">
        <f>'Token Cost Model'!N7</f>
        <v>Exception Operations</v>
      </c>
      <c r="B8" s="5" t="str">
        <f>'Token Cost Model'!A7</f>
        <v>GLC-ExceptionAgent</v>
      </c>
      <c r="C8" s="32">
        <f>'Token Cost Model'!L7</f>
        <v>3420</v>
      </c>
      <c r="D8" s="32">
        <f>Inputs!I18</f>
        <v>15000</v>
      </c>
      <c r="E8" s="51">
        <f>IFERROR(C8/D8,0)</f>
        <v>0.22800000000000001</v>
      </c>
      <c r="F8" s="32">
        <f>D8*Inputs!$B$8</f>
        <v>10500</v>
      </c>
      <c r="G8" s="32">
        <f>D8*Inputs!$B$9</f>
        <v>12750</v>
      </c>
      <c r="H8" s="32">
        <f>D8*Inputs!$B$10</f>
        <v>15000</v>
      </c>
      <c r="I8" s="5" t="str">
        <f>B8&amp;"|"&amp;A8</f>
        <v>GLC-ExceptionAgent|Exception Operations</v>
      </c>
      <c r="J8" s="53"/>
      <c r="K8" s="5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/>
      <c r="B9" s="5"/>
      <c r="C9" s="32"/>
      <c r="D9" s="32"/>
      <c r="E9" s="51"/>
      <c r="F9" s="5"/>
      <c r="G9" s="5"/>
      <c r="H9" s="5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1" customHeight="1">
      <c r="A10" s="34" t="s">
        <v>107</v>
      </c>
      <c r="B10" s="34"/>
      <c r="C10" s="35">
        <f>SUM(C5:C8)</f>
        <v>22320</v>
      </c>
      <c r="D10" s="35">
        <f>SUM(D5:D8)</f>
        <v>50000</v>
      </c>
      <c r="E10" s="52">
        <f>IFERROR(C10/D10,0)</f>
        <v>0.44640000000000002</v>
      </c>
      <c r="F10" s="36"/>
      <c r="G10" s="36"/>
      <c r="H10" s="36"/>
      <c r="I10" s="36"/>
      <c r="J10" s="36"/>
      <c r="K10" s="3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5">
    <mergeCell ref="A1:K1"/>
    <mergeCell ref="A2:K2"/>
    <mergeCell ref="A10:B10"/>
    <mergeCell ref="J5:J8"/>
    <mergeCell ref="K5:K8"/>
  </mergeCells>
  <conditionalFormatting sqref="E5:E8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>
      <selection activeCell="F24" sqref="F24"/>
    </sheetView>
  </sheetViews>
  <sheetFormatPr baseColWidth="10" defaultColWidth="8.83203125" defaultRowHeight="14"/>
  <cols>
    <col min="1" max="1" width="35" style="3" bestFit="1" customWidth="1"/>
    <col min="2" max="2" width="28.1640625" style="3" bestFit="1" customWidth="1"/>
    <col min="3" max="3" width="15" style="3" customWidth="1"/>
    <col min="4" max="6" width="17" style="3" customWidth="1"/>
    <col min="7" max="7" width="30.6640625" style="3" customWidth="1"/>
    <col min="8" max="10" width="30" style="3" customWidth="1"/>
    <col min="11" max="16384" width="8.83203125" style="3"/>
  </cols>
  <sheetData>
    <row r="1" spans="1:26" ht="21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3" t="s">
        <v>109</v>
      </c>
      <c r="B2" s="23"/>
      <c r="C2" s="23"/>
      <c r="D2" s="23"/>
      <c r="E2" s="23"/>
      <c r="F2" s="23"/>
      <c r="G2" s="23"/>
      <c r="H2" s="23"/>
      <c r="I2" s="23"/>
      <c r="J2" s="2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6" t="s">
        <v>110</v>
      </c>
      <c r="B4" s="6" t="s">
        <v>111</v>
      </c>
      <c r="C4" s="6" t="s">
        <v>112</v>
      </c>
      <c r="D4" s="6" t="s">
        <v>113</v>
      </c>
      <c r="E4" s="6" t="s">
        <v>114</v>
      </c>
      <c r="F4" s="6" t="s">
        <v>115</v>
      </c>
      <c r="G4" s="6" t="s">
        <v>116</v>
      </c>
      <c r="H4" s="6" t="s">
        <v>117</v>
      </c>
      <c r="I4" s="6" t="s">
        <v>118</v>
      </c>
      <c r="J4" s="6" t="s">
        <v>119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>
      <c r="A5" s="5" t="s">
        <v>120</v>
      </c>
      <c r="B5" s="5" t="s">
        <v>121</v>
      </c>
      <c r="C5" s="48">
        <v>0.08</v>
      </c>
      <c r="D5" s="32">
        <f>'Token Cost Model'!$L$8</f>
        <v>22320</v>
      </c>
      <c r="E5" s="32">
        <f>C5*D5</f>
        <v>1785.6000000000001</v>
      </c>
      <c r="F5" s="32">
        <f>D5-E5</f>
        <v>20534.400000000001</v>
      </c>
      <c r="G5" s="7" t="s">
        <v>122</v>
      </c>
      <c r="H5" s="7" t="s">
        <v>123</v>
      </c>
      <c r="I5" s="7" t="s">
        <v>124</v>
      </c>
      <c r="J5" s="7" t="s">
        <v>125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>
      <c r="A6" s="5" t="s">
        <v>126</v>
      </c>
      <c r="B6" s="5" t="s">
        <v>127</v>
      </c>
      <c r="C6" s="48">
        <v>0.1</v>
      </c>
      <c r="D6" s="32">
        <f>'Token Cost Model'!$L$8</f>
        <v>22320</v>
      </c>
      <c r="E6" s="32">
        <f>C6*D6</f>
        <v>2232</v>
      </c>
      <c r="F6" s="32">
        <f>D6-E6</f>
        <v>20088</v>
      </c>
      <c r="G6" s="7" t="s">
        <v>128</v>
      </c>
      <c r="H6" s="7" t="s">
        <v>129</v>
      </c>
      <c r="I6" s="7" t="s">
        <v>130</v>
      </c>
      <c r="J6" s="7" t="s">
        <v>131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>
      <c r="A7" s="5" t="s">
        <v>132</v>
      </c>
      <c r="B7" s="5" t="s">
        <v>133</v>
      </c>
      <c r="C7" s="48">
        <v>0.05</v>
      </c>
      <c r="D7" s="32">
        <f>'Token Cost Model'!$L$8</f>
        <v>22320</v>
      </c>
      <c r="E7" s="32">
        <f>C7*D7</f>
        <v>1116</v>
      </c>
      <c r="F7" s="32">
        <f>D7-E7</f>
        <v>21204</v>
      </c>
      <c r="G7" s="7" t="s">
        <v>134</v>
      </c>
      <c r="H7" s="7" t="s">
        <v>135</v>
      </c>
      <c r="I7" s="7" t="s">
        <v>136</v>
      </c>
      <c r="J7" s="7" t="s">
        <v>137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>
      <c r="A8" s="5" t="s">
        <v>138</v>
      </c>
      <c r="B8" s="5" t="s">
        <v>139</v>
      </c>
      <c r="C8" s="48">
        <v>0.04</v>
      </c>
      <c r="D8" s="32">
        <f>'Token Cost Model'!$L$8</f>
        <v>22320</v>
      </c>
      <c r="E8" s="32">
        <f>C8*D8</f>
        <v>892.80000000000007</v>
      </c>
      <c r="F8" s="32">
        <f>D8-E8</f>
        <v>21427.200000000001</v>
      </c>
      <c r="G8" s="7" t="s">
        <v>140</v>
      </c>
      <c r="H8" s="7" t="s">
        <v>141</v>
      </c>
      <c r="I8" s="7" t="s">
        <v>142</v>
      </c>
      <c r="J8" s="7" t="s">
        <v>143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49"/>
      <c r="D9" s="24"/>
      <c r="E9" s="24"/>
      <c r="F9" s="2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5" t="s">
        <v>144</v>
      </c>
      <c r="B10" s="25"/>
      <c r="C10" s="50">
        <f>MIN(SUM(C5:C8),0.5)</f>
        <v>0.26999999999999996</v>
      </c>
      <c r="D10" s="26">
        <f>'Token Cost Model'!$L$8</f>
        <v>22320</v>
      </c>
      <c r="E10" s="26">
        <f>C10*D10</f>
        <v>6026.3999999999987</v>
      </c>
      <c r="F10" s="26">
        <f>D10-E10</f>
        <v>16293.600000000002</v>
      </c>
      <c r="G10" s="27"/>
      <c r="H10" s="27"/>
      <c r="I10" s="27"/>
      <c r="J10" s="2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3">
    <mergeCell ref="A1:J1"/>
    <mergeCell ref="A2:J2"/>
    <mergeCell ref="A10:B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activeCell="C27" sqref="C27"/>
    </sheetView>
  </sheetViews>
  <sheetFormatPr baseColWidth="10" defaultColWidth="8.83203125" defaultRowHeight="14"/>
  <cols>
    <col min="1" max="1" width="15.5" style="3" bestFit="1" customWidth="1"/>
    <col min="2" max="2" width="37.33203125" style="3" customWidth="1"/>
    <col min="3" max="3" width="132.33203125" style="3" customWidth="1"/>
    <col min="4" max="4" width="101.83203125" style="3" customWidth="1"/>
    <col min="5" max="16384" width="8.83203125" style="3"/>
  </cols>
  <sheetData>
    <row r="1" spans="1:26" ht="21">
      <c r="A1" s="1" t="s">
        <v>145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6" t="s">
        <v>146</v>
      </c>
      <c r="B3" s="6" t="s">
        <v>147</v>
      </c>
      <c r="C3" s="6" t="s">
        <v>148</v>
      </c>
      <c r="D3" s="6" t="s">
        <v>149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5" t="s">
        <v>150</v>
      </c>
      <c r="B4" s="7" t="s">
        <v>151</v>
      </c>
      <c r="C4" s="47" t="s">
        <v>152</v>
      </c>
      <c r="D4" s="7" t="s">
        <v>153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>
      <c r="A5" s="5" t="s">
        <v>154</v>
      </c>
      <c r="B5" s="7" t="s">
        <v>155</v>
      </c>
      <c r="C5" s="47" t="s">
        <v>156</v>
      </c>
      <c r="D5" s="7" t="s">
        <v>157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5" t="s">
        <v>158</v>
      </c>
      <c r="B6" s="7" t="s">
        <v>159</v>
      </c>
      <c r="C6" s="47" t="s">
        <v>160</v>
      </c>
      <c r="D6" s="7" t="s">
        <v>161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5" t="s">
        <v>162</v>
      </c>
      <c r="B7" s="7" t="s">
        <v>163</v>
      </c>
      <c r="C7" s="47" t="s">
        <v>164</v>
      </c>
      <c r="D7" s="7" t="s">
        <v>165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5" t="s">
        <v>166</v>
      </c>
      <c r="B8" s="7" t="s">
        <v>167</v>
      </c>
      <c r="C8" s="47" t="s">
        <v>168</v>
      </c>
      <c r="D8" s="7" t="s">
        <v>169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5" t="s">
        <v>170</v>
      </c>
      <c r="B9" s="7" t="s">
        <v>171</v>
      </c>
      <c r="C9" s="47" t="s">
        <v>172</v>
      </c>
      <c r="D9" s="7" t="s">
        <v>173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5" t="s">
        <v>174</v>
      </c>
      <c r="B10" s="7" t="s">
        <v>175</v>
      </c>
      <c r="C10" s="47" t="s">
        <v>176</v>
      </c>
      <c r="D10" s="7" t="s">
        <v>177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5" t="s">
        <v>178</v>
      </c>
      <c r="B11" s="7" t="s">
        <v>179</v>
      </c>
      <c r="C11" s="47" t="s">
        <v>180</v>
      </c>
      <c r="D11" s="7" t="s">
        <v>181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5" t="s">
        <v>182</v>
      </c>
      <c r="B12" s="7" t="s">
        <v>183</v>
      </c>
      <c r="C12" s="47" t="s">
        <v>184</v>
      </c>
      <c r="D12" s="7" t="s">
        <v>185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5" t="s">
        <v>186</v>
      </c>
      <c r="B13" s="7" t="s">
        <v>187</v>
      </c>
      <c r="C13" s="47" t="s">
        <v>188</v>
      </c>
      <c r="D13" s="7" t="s">
        <v>189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hyperlinks>
    <hyperlink ref="C12" r:id="rId1" xr:uid="{D337C203-3977-1C4D-BEE6-ADC46861DB70}"/>
    <hyperlink ref="C4" r:id="rId2" xr:uid="{94B6CAB7-BBEC-E04A-AE27-88955A8AAAC2}"/>
    <hyperlink ref="C5" r:id="rId3" xr:uid="{A0631132-8164-9B43-9ADE-6816C161594F}"/>
    <hyperlink ref="C6" r:id="rId4" xr:uid="{B3FCD415-8EB4-5A47-A905-B3B56453FDB3}"/>
    <hyperlink ref="C7" r:id="rId5" xr:uid="{B5F39BD4-8B31-E547-A047-49BCB2DC1BD1}"/>
    <hyperlink ref="C10" r:id="rId6" xr:uid="{9F0804C5-E377-0C49-9EE0-4C7E7CDF8ACC}"/>
    <hyperlink ref="C13" r:id="rId7" xr:uid="{C8BB98D1-6ED0-A142-B1E4-D7251BE843F0}"/>
    <hyperlink ref="C8" r:id="rId8" xr:uid="{F9111332-5F1F-FC47-A3C3-1D04D2E90339}"/>
    <hyperlink ref="C11" r:id="rId9" xr:uid="{0C55ADBA-A2DE-9D4E-A8ED-0ECC34CBE50D}"/>
    <hyperlink ref="C9" r:id="rId10" xr:uid="{ACEDA994-76A1-2947-BDF8-43B18733C2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Inputs</vt:lpstr>
      <vt:lpstr>Token Cost Model</vt:lpstr>
      <vt:lpstr>Agent Sensitivity</vt:lpstr>
      <vt:lpstr>Chargeback &amp; Quotas</vt:lpstr>
      <vt:lpstr>Optimization Scenarios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Sandip Dixit</cp:lastModifiedBy>
  <dcterms:modified xsi:type="dcterms:W3CDTF">2026-08-02T06:36:37Z</dcterms:modified>
</cp:coreProperties>
</file>